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3_FSPV_Anik\Data\"/>
    </mc:Choice>
  </mc:AlternateContent>
  <xr:revisionPtr revIDLastSave="0" documentId="8_{6B6CD9C3-686F-4E6E-8D47-150CB85F1C6F}" xr6:coauthVersionLast="47" xr6:coauthVersionMax="47" xr10:uidLastSave="{00000000-0000-0000-0000-000000000000}"/>
  <bookViews>
    <workbookView xWindow="-110" yWindow="-110" windowWidth="25820" windowHeight="15500" xr2:uid="{5D463655-FD33-4DBF-B97C-372E41249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D27" i="1"/>
  <c r="C28" i="1"/>
  <c r="D28" i="1"/>
  <c r="C29" i="1"/>
  <c r="D29" i="1"/>
  <c r="B29" i="1"/>
  <c r="B28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D21" i="1"/>
  <c r="C22" i="1"/>
  <c r="C21" i="1"/>
  <c r="B22" i="1"/>
  <c r="B21" i="1"/>
</calcChain>
</file>

<file path=xl/sharedStrings.xml><?xml version="1.0" encoding="utf-8"?>
<sst xmlns="http://schemas.openxmlformats.org/spreadsheetml/2006/main" count="37" uniqueCount="32">
  <si>
    <t>Greenhouse gas emission by sector for Honduras in 2022</t>
  </si>
  <si>
    <r>
      <t>Emission by sector (2022)</t>
    </r>
    <r>
      <rPr>
        <vertAlign val="superscript"/>
        <sz val="11"/>
        <color theme="1"/>
        <rFont val="Aptos Narrow"/>
        <family val="2"/>
        <scheme val="minor"/>
      </rPr>
      <t>1</t>
    </r>
  </si>
  <si>
    <t xml:space="preserve">CO2 (tons) </t>
  </si>
  <si>
    <t>NOx (tons)</t>
  </si>
  <si>
    <t>SO2 (tons)</t>
  </si>
  <si>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Source: EDGAR (2022).
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Denotes sector of interest in evaluating potential tons of greenhouse gas reduced due to displacement of fossil and bio-fuel
with FSPV.</t>
    </r>
  </si>
  <si>
    <t>Buildings</t>
  </si>
  <si>
    <t xml:space="preserve">Fuel exploitation </t>
  </si>
  <si>
    <t>Industrial combustion</t>
  </si>
  <si>
    <r>
      <t xml:space="preserve">Power industry </t>
    </r>
    <r>
      <rPr>
        <vertAlign val="superscript"/>
        <sz val="11"/>
        <color theme="1"/>
        <rFont val="Aptos Narrow"/>
        <family val="2"/>
        <scheme val="minor"/>
      </rPr>
      <t xml:space="preserve">2 </t>
    </r>
  </si>
  <si>
    <t xml:space="preserve">Process industry </t>
  </si>
  <si>
    <t>Transport</t>
  </si>
  <si>
    <t>Water</t>
  </si>
  <si>
    <t>-</t>
  </si>
  <si>
    <t>1. Theoretical max generation (MWac) of FSPV at El Cajon dam, Honduras is 398–557 MW</t>
  </si>
  <si>
    <t xml:space="preserve">2. Generation capacity for Honduras (2022) - 3159.33 MW with 54.6% (1725 MW) generation from fossil and bio fuels </t>
  </si>
  <si>
    <t>Computing tons of greenhouse gas reduced by FSPV deployment at El Cajón dam due to the
displacement of fossil and bio-fuel with FSPV</t>
  </si>
  <si>
    <t>Background information:</t>
  </si>
  <si>
    <t>Greenhouse gas in consideration</t>
  </si>
  <si>
    <t>Tons of GHG reduced due to displacement of fossil and bio-fuels with FSPV</t>
  </si>
  <si>
    <t>50% displacement (equals 50 % of 398 - 557 MW)</t>
  </si>
  <si>
    <t>25% displacement (equals 25 % of 398 - 557 MW)</t>
  </si>
  <si>
    <t>10% displacement (equals 10 % of 398 - 557 MW)</t>
  </si>
  <si>
    <t>CO2 (tons) upper limit</t>
  </si>
  <si>
    <t>CO2 (tons) lower limit of reduction</t>
  </si>
  <si>
    <t>NOx (tons) lower limit of reduction</t>
  </si>
  <si>
    <t>NOx (tons) upper limit of reduction</t>
  </si>
  <si>
    <t>SO2 (tons) lower limit of reduction</t>
  </si>
  <si>
    <t>SO2 (tons) upper limit of reduction</t>
  </si>
  <si>
    <t>Average tons of CO2 offset/MW of fossil and bio-fuel generation</t>
  </si>
  <si>
    <t>Average tons of NOx offset/MW of fossil and bio-fuel generation</t>
  </si>
  <si>
    <t>Average tons of SO2 offset/MW of fossil and bio-fuel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</si>
</sst>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3" fontId="0" fillId="0" borderId="0" xfId="0" applyNumberFormat="1"/>
    <xf numFmtId="3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528F-B43D-458D-AD77-8FE4982F5699}">
  <dimension ref="A1:D29"/>
  <sheetViews>
    <sheetView tabSelected="1" topLeftCell="A10" workbookViewId="0">
      <selection activeCell="A18" sqref="A18:D18"/>
    </sheetView>
  </sheetViews>
  <sheetFormatPr defaultRowHeight="14.5" x14ac:dyDescent="0.35"/>
  <cols>
    <col min="1" max="1" width="35.08984375" customWidth="1"/>
    <col min="2" max="2" width="42.26953125" customWidth="1"/>
    <col min="3" max="3" width="47.54296875" customWidth="1"/>
    <col min="4" max="4" width="50.54296875" customWidth="1"/>
  </cols>
  <sheetData>
    <row r="1" spans="1:4" ht="36" customHeight="1" x14ac:dyDescent="0.5">
      <c r="A1" s="9" t="s">
        <v>0</v>
      </c>
      <c r="B1" s="9"/>
      <c r="C1" s="9"/>
      <c r="D1" s="9"/>
    </row>
    <row r="2" spans="1:4" ht="16.5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35">
      <c r="A3" t="s">
        <v>6</v>
      </c>
      <c r="B3" s="5">
        <v>622473</v>
      </c>
      <c r="C3" s="5">
        <v>3770</v>
      </c>
      <c r="D3" s="5">
        <v>4509</v>
      </c>
    </row>
    <row r="4" spans="1:4" x14ac:dyDescent="0.35">
      <c r="A4" t="s">
        <v>7</v>
      </c>
      <c r="B4" s="5">
        <v>17633</v>
      </c>
      <c r="C4" t="s">
        <v>13</v>
      </c>
      <c r="D4" t="s">
        <v>13</v>
      </c>
    </row>
    <row r="5" spans="1:4" x14ac:dyDescent="0.35">
      <c r="A5" t="s">
        <v>8</v>
      </c>
      <c r="B5" s="5">
        <v>1381180</v>
      </c>
      <c r="C5" s="5">
        <v>5716</v>
      </c>
      <c r="D5" s="5">
        <v>8396</v>
      </c>
    </row>
    <row r="6" spans="1:4" ht="16.5" x14ac:dyDescent="0.35">
      <c r="A6" t="s">
        <v>9</v>
      </c>
      <c r="B6" s="5">
        <v>3245980</v>
      </c>
      <c r="C6" s="5">
        <v>54809</v>
      </c>
      <c r="D6" s="5">
        <v>66096</v>
      </c>
    </row>
    <row r="7" spans="1:4" x14ac:dyDescent="0.35">
      <c r="A7" t="s">
        <v>10</v>
      </c>
      <c r="B7" s="5">
        <v>668869</v>
      </c>
      <c r="C7" t="s">
        <v>13</v>
      </c>
      <c r="D7" t="s">
        <v>13</v>
      </c>
    </row>
    <row r="8" spans="1:4" x14ac:dyDescent="0.35">
      <c r="A8" t="s">
        <v>11</v>
      </c>
      <c r="B8" s="5">
        <v>4601960</v>
      </c>
      <c r="C8" s="5">
        <v>36074</v>
      </c>
      <c r="D8" s="5">
        <v>7837</v>
      </c>
    </row>
    <row r="9" spans="1:4" x14ac:dyDescent="0.35">
      <c r="A9" s="3" t="s">
        <v>12</v>
      </c>
      <c r="B9" s="6">
        <v>32587</v>
      </c>
      <c r="C9" s="3" t="s">
        <v>13</v>
      </c>
      <c r="D9" s="3" t="s">
        <v>13</v>
      </c>
    </row>
    <row r="10" spans="1:4" x14ac:dyDescent="0.35">
      <c r="A10" s="1" t="s">
        <v>5</v>
      </c>
      <c r="B10" s="2"/>
      <c r="C10" s="2"/>
      <c r="D10" s="2"/>
    </row>
    <row r="11" spans="1:4" x14ac:dyDescent="0.35">
      <c r="A11" s="2"/>
      <c r="B11" s="2"/>
      <c r="C11" s="2"/>
      <c r="D11" s="2"/>
    </row>
    <row r="12" spans="1:4" ht="32" customHeight="1" x14ac:dyDescent="0.35">
      <c r="A12" s="2"/>
      <c r="B12" s="2"/>
      <c r="C12" s="2"/>
      <c r="D12" s="2"/>
    </row>
    <row r="13" spans="1:4" ht="32" customHeight="1" x14ac:dyDescent="0.35">
      <c r="A13" s="8"/>
      <c r="B13" s="8"/>
      <c r="C13" s="8"/>
      <c r="D13" s="8"/>
    </row>
    <row r="14" spans="1:4" x14ac:dyDescent="0.35">
      <c r="A14" s="10" t="s">
        <v>17</v>
      </c>
      <c r="B14" s="11"/>
      <c r="C14" s="11"/>
      <c r="D14" s="12"/>
    </row>
    <row r="15" spans="1:4" x14ac:dyDescent="0.35">
      <c r="A15" s="13" t="s">
        <v>14</v>
      </c>
      <c r="B15" s="14"/>
      <c r="C15" s="14"/>
      <c r="D15" s="15"/>
    </row>
    <row r="16" spans="1:4" ht="37" customHeight="1" x14ac:dyDescent="0.35">
      <c r="A16" s="16" t="s">
        <v>15</v>
      </c>
      <c r="B16" s="17"/>
      <c r="C16" s="17"/>
      <c r="D16" s="18"/>
    </row>
    <row r="18" spans="1:4" ht="60.5" customHeight="1" x14ac:dyDescent="0.5">
      <c r="A18" s="9" t="s">
        <v>16</v>
      </c>
      <c r="B18" s="9"/>
      <c r="C18" s="9"/>
      <c r="D18" s="9"/>
    </row>
    <row r="19" spans="1:4" ht="25.5" customHeight="1" x14ac:dyDescent="0.35">
      <c r="A19" s="21" t="s">
        <v>18</v>
      </c>
      <c r="B19" s="20" t="s">
        <v>19</v>
      </c>
      <c r="C19" s="20"/>
      <c r="D19" s="20"/>
    </row>
    <row r="20" spans="1:4" x14ac:dyDescent="0.35">
      <c r="A20" s="22"/>
      <c r="B20" s="19" t="s">
        <v>20</v>
      </c>
      <c r="C20" s="19" t="s">
        <v>21</v>
      </c>
      <c r="D20" s="19" t="s">
        <v>22</v>
      </c>
    </row>
    <row r="21" spans="1:4" x14ac:dyDescent="0.35">
      <c r="A21" t="s">
        <v>24</v>
      </c>
      <c r="B21" s="5">
        <f>B6*(0.5*398)/1725</f>
        <v>374463.77971014491</v>
      </c>
      <c r="C21" s="5">
        <f>B6*(0.25*398)/1725</f>
        <v>187231.88985507246</v>
      </c>
      <c r="D21" s="5">
        <f>B6*(0.1*398)/1725</f>
        <v>74892.755942028991</v>
      </c>
    </row>
    <row r="22" spans="1:4" x14ac:dyDescent="0.35">
      <c r="A22" t="s">
        <v>23</v>
      </c>
      <c r="B22" s="5">
        <f>B6*(0.5*557)/1725</f>
        <v>524061.1188405797</v>
      </c>
      <c r="C22" s="5">
        <f>B6*(0.25*557)/1725</f>
        <v>262030.55942028985</v>
      </c>
      <c r="D22" s="5">
        <f>B6*(0.1*557)/1725</f>
        <v>104812.22376811595</v>
      </c>
    </row>
    <row r="23" spans="1:4" x14ac:dyDescent="0.35">
      <c r="A23" t="s">
        <v>25</v>
      </c>
      <c r="B23" s="5">
        <f>C6*(0.5*398)/1725</f>
        <v>6322.8933333333334</v>
      </c>
      <c r="C23" s="5">
        <f>C6*(0.25*398)/1725</f>
        <v>3161.4466666666667</v>
      </c>
      <c r="D23" s="5">
        <f>C6*(0.1*398)/1725</f>
        <v>1264.5786666666668</v>
      </c>
    </row>
    <row r="24" spans="1:4" x14ac:dyDescent="0.35">
      <c r="A24" t="s">
        <v>26</v>
      </c>
      <c r="B24" s="5">
        <f>C6*(0.5*557)/1725</f>
        <v>8848.873333333333</v>
      </c>
      <c r="C24" s="5">
        <f>C6*(0.25*557)/1725</f>
        <v>4424.4366666666665</v>
      </c>
      <c r="D24" s="5">
        <f>C6*(0.1*557)/1725</f>
        <v>1769.7746666666669</v>
      </c>
    </row>
    <row r="25" spans="1:4" x14ac:dyDescent="0.35">
      <c r="A25" t="s">
        <v>27</v>
      </c>
      <c r="B25" s="5">
        <f>D6*(0.5*398)/1725</f>
        <v>7624.9878260869564</v>
      </c>
      <c r="C25" s="5">
        <f>D6*(0.25*398)/1725</f>
        <v>3812.4939130434782</v>
      </c>
      <c r="D25" s="5">
        <f>D6*(0.1*398)/1725</f>
        <v>1524.9975652173914</v>
      </c>
    </row>
    <row r="26" spans="1:4" x14ac:dyDescent="0.35">
      <c r="A26" t="s">
        <v>28</v>
      </c>
      <c r="B26" s="5">
        <f>D6*(0.5*557)/1725</f>
        <v>10671.151304347826</v>
      </c>
      <c r="C26" s="5">
        <f>D6*(0.25*557)/1725</f>
        <v>5335.5756521739131</v>
      </c>
      <c r="D26" s="5">
        <f>D6*(0.1*557)/1725</f>
        <v>2134.2302608695654</v>
      </c>
    </row>
    <row r="27" spans="1:4" ht="31" customHeight="1" x14ac:dyDescent="0.35">
      <c r="A27" s="7" t="s">
        <v>29</v>
      </c>
      <c r="B27" s="23">
        <f>((B21+B22)/2)/1725</f>
        <v>260.44199957992015</v>
      </c>
      <c r="C27" s="23">
        <f t="shared" ref="C27:D27" si="0">((C21+C22)/2)/1725</f>
        <v>130.22099978996008</v>
      </c>
      <c r="D27" s="23">
        <f t="shared" si="0"/>
        <v>52.088399915984034</v>
      </c>
    </row>
    <row r="28" spans="1:4" ht="29" x14ac:dyDescent="0.35">
      <c r="A28" s="7" t="s">
        <v>30</v>
      </c>
      <c r="B28" s="23">
        <f>((B23+B24)/2)/1725</f>
        <v>4.3976135265700487</v>
      </c>
      <c r="C28" s="23">
        <f t="shared" ref="C28:D28" si="1">((C23+C24)/2)/1725</f>
        <v>2.1988067632850243</v>
      </c>
      <c r="D28" s="23">
        <f t="shared" si="1"/>
        <v>0.87952270531400967</v>
      </c>
    </row>
    <row r="29" spans="1:4" ht="29" x14ac:dyDescent="0.35">
      <c r="A29" s="19" t="s">
        <v>31</v>
      </c>
      <c r="B29" s="24">
        <f>((B25+B26)/2)/1725</f>
        <v>5.3032287334593571</v>
      </c>
      <c r="C29" s="24">
        <f t="shared" ref="C29:D29" si="2">((C25+C26)/2)/1725</f>
        <v>2.6516143667296785</v>
      </c>
      <c r="D29" s="24">
        <f t="shared" si="2"/>
        <v>1.0606457466918715</v>
      </c>
    </row>
  </sheetData>
  <mergeCells count="8">
    <mergeCell ref="B19:D19"/>
    <mergeCell ref="A19:A20"/>
    <mergeCell ref="A1:D1"/>
    <mergeCell ref="A10:D12"/>
    <mergeCell ref="A15:D15"/>
    <mergeCell ref="A16:D16"/>
    <mergeCell ref="A18:D18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Ghosh</dc:creator>
  <cp:lastModifiedBy>Soham Ghosh</cp:lastModifiedBy>
  <dcterms:created xsi:type="dcterms:W3CDTF">2026-05-03T00:22:36Z</dcterms:created>
  <dcterms:modified xsi:type="dcterms:W3CDTF">2026-05-03T01:24:30Z</dcterms:modified>
</cp:coreProperties>
</file>